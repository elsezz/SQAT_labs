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еклог" sheetId="1" state="visible" r:id="rId3"/>
    <sheet name="Очікування → stor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<sst xmlns="http://schemas.openxmlformats.org/spreadsheetml/2006/main" count="175" uniqueCount="109">
  <si>
    <t xml:space="preserve">Продукт: «ШопЛайн» (shopline) · Спринт 1 · Дата: 23.09.2026 · Автор: Сапронов Анатолій (Тест-аналітик) · Рецензент: Пінчук Катерина</t>
  </si>
  <si>
    <t xml:space="preserve">Пріоритети: High — без цього функція не має сенсу для замовника; Medium — важливо, але можна відкласти; Low — доповнення.</t>
  </si>
  <si>
    <t xml:space="preserve">ID</t>
  </si>
  <si>
    <t xml:space="preserve">Роль (як …)</t>
  </si>
  <si>
    <t xml:space="preserve">Бажання (я хочу …)</t>
  </si>
  <si>
    <t xml:space="preserve">Мета (щоб …)</t>
  </si>
  <si>
    <t xml:space="preserve">Пріоритет</t>
  </si>
  <si>
    <t xml:space="preserve">Примітки для тестування</t>
  </si>
  <si>
    <t xml:space="preserve">Очікування</t>
  </si>
  <si>
    <t xml:space="preserve">Статус</t>
  </si>
  <si>
    <t xml:space="preserve">US-01</t>
  </si>
  <si>
    <t xml:space="preserve">покупець</t>
  </si>
  <si>
    <t xml:space="preserve">отримувати бонусні бали за кожну оплачену покупку</t>
  </si>
  <si>
    <t xml:space="preserve">мені було вигідно повертатися до магазину</t>
  </si>
  <si>
    <t xml:space="preserve">High</t>
  </si>
  <si>
    <t xml:space="preserve">Бали нараховуються лише після підтвердження оплати; неоплачене або скасоване замовлення балів не дає; кількість балів = сума × курс із налаштувань (US-14)</t>
  </si>
  <si>
    <t xml:space="preserve">О-1</t>
  </si>
  <si>
    <t xml:space="preserve">чернетка</t>
  </si>
  <si>
    <t xml:space="preserve">US-02</t>
  </si>
  <si>
    <t xml:space="preserve">бачити баланс балів та історію нарахувань і списань у кабінеті</t>
  </si>
  <si>
    <t xml:space="preserve">розуміти, скільки я можу витратити наступного разу</t>
  </si>
  <si>
    <t xml:space="preserve">Medium</t>
  </si>
  <si>
    <t xml:space="preserve">Новий покупець бачить баланс 0, а не порожнє поле; баланс = нараховано − списано; кожен запис історії має дату і номер замовлення</t>
  </si>
  <si>
    <t xml:space="preserve">US-03</t>
  </si>
  <si>
    <t xml:space="preserve">частково оплатити замовлення бонусними балами</t>
  </si>
  <si>
    <t xml:space="preserve">зменшити суму, яку плачу грошима</t>
  </si>
  <si>
    <t xml:space="preserve">Не можна списати більше, ніж є на балансі; сума до оплати після списання &gt; 0 (оплата саме часткова); за балансу 0 списання недоступне. Питання замовнику: максимальна частка замовлення, яку можна оплатити балами</t>
  </si>
  <si>
    <t xml:space="preserve">US-04</t>
  </si>
  <si>
    <t xml:space="preserve">ввести промокод у кошику</t>
  </si>
  <si>
    <t xml:space="preserve">отримати знижку на замовлення ще до оплати</t>
  </si>
  <si>
    <t xml:space="preserve">Код 6–10 символів: 6 і 10 приймаються, 5 і 11 відхиляються (BL-70); поле промокоду необов'язкове</t>
  </si>
  <si>
    <t xml:space="preserve">О-2</t>
  </si>
  <si>
    <t xml:space="preserve">US-05</t>
  </si>
  <si>
    <t xml:space="preserve">бачити причину, з якої промокод не прийнято</t>
  </si>
  <si>
    <t xml:space="preserve">зрозуміти, чому знижки немає, і не звертатися в підтримку</t>
  </si>
  <si>
    <t xml:space="preserve">Окремі повідомлення для: неправильного формату, простроченого коду, вже використаного одноразового коду; дата закінчення включно: сьогодні — приймається, вчора — ні</t>
  </si>
  <si>
    <t xml:space="preserve">US-06</t>
  </si>
  <si>
    <t xml:space="preserve">бачити суму знижки за промокодом у підсумку до оплати</t>
  </si>
  <si>
    <t xml:space="preserve">знати остаточну суму замовлення</t>
  </si>
  <si>
    <t xml:space="preserve">Відсоток 1–50: знижка = підсумок × % / 100, округлення HALF_UP до копійок (BL-80); фіксована сума &gt; 0 і не більша за підсумок кошика</t>
  </si>
  <si>
    <t xml:space="preserve">US-07</t>
  </si>
  <si>
    <t xml:space="preserve">автоматично отримувати знижку за обсяг покупки</t>
  </si>
  <si>
    <t xml:space="preserve">мені було вигідно купувати більше за один раз</t>
  </si>
  <si>
    <t xml:space="preserve">Межі (BL-50): 1999,99 → 0 %; 2000,00 → 5 %; 4999,99 → 5 %; 5000,00 → 10 %; 9999,99 → 10 %; 10000,00 → 15 %; застосовується лише один, найвищий рівень</t>
  </si>
  <si>
    <t xml:space="preserve">О-3</t>
  </si>
  <si>
    <t xml:space="preserve">US-08</t>
  </si>
  <si>
    <t xml:space="preserve">бачити в кошику, скільки лишилося до наступного рівня знижки</t>
  </si>
  <si>
    <t xml:space="preserve">вирішити, чи варто докупити товар</t>
  </si>
  <si>
    <t xml:space="preserve">Low</t>
  </si>
  <si>
    <t xml:space="preserve">За підсумку 1800 грн показано «ще 200 грн до знижки 5 %»; за підсумку ≥ 10000 грн підказки немає</t>
  </si>
  <si>
    <t xml:space="preserve">US-09</t>
  </si>
  <si>
    <t xml:space="preserve">отримувати безкоштовну доставку від порогової суми після знижок</t>
  </si>
  <si>
    <t xml:space="preserve">не платити за доставку великого замовлення</t>
  </si>
  <si>
    <t xml:space="preserve">Поріг рахується від суми після знижок (BL-60): 1499,99 → 120 грн; 1500,00 → 0 грн. Суперечність: F-110 вказує 2000 грн — винести в аудит вимог (спринт 2)</t>
  </si>
  <si>
    <t xml:space="preserve">О-4</t>
  </si>
  <si>
    <t xml:space="preserve">US-10</t>
  </si>
  <si>
    <t xml:space="preserve">бачити у кошику поріг безкоштовної доставки і скільки лишилося до нього</t>
  </si>
  <si>
    <t xml:space="preserve">докупити товар і не платити за доставку</t>
  </si>
  <si>
    <t xml:space="preserve">Значення порога береться з налаштувань (US-15), а не з тексту сторінки; після досягнення порога показано «доставка безкоштовна»</t>
  </si>
  <si>
    <t xml:space="preserve">US-11</t>
  </si>
  <si>
    <t xml:space="preserve">менеджер магазину</t>
  </si>
  <si>
    <t xml:space="preserve">створювати промокод із типом (відсоток / фіксована сума), значенням, датою закінчення й ознакою одноразовості</t>
  </si>
  <si>
    <t xml:space="preserve">запускати акції без участі розробників</t>
  </si>
  <si>
    <t xml:space="preserve">Відсоток 1–50: 0 і 51 — помилка; фіксована сума &gt; 0; дата закінчення в минулому — помилка; код, що вже існує, не створюється повторно</t>
  </si>
  <si>
    <t xml:space="preserve">О-5</t>
  </si>
  <si>
    <t xml:space="preserve">US-12</t>
  </si>
  <si>
    <t xml:space="preserve">бачити статистику використання промокодів за обраний період</t>
  </si>
  <si>
    <t xml:space="preserve">оцінювати, які акції працюють</t>
  </si>
  <si>
    <t xml:space="preserve">Для кожного коду: кількість застосувань і загальна сума знижок; період без використань — повідомлення, а не помилка</t>
  </si>
  <si>
    <t xml:space="preserve">US-13</t>
  </si>
  <si>
    <t xml:space="preserve">деактивувати промокод до дати його закінчення</t>
  </si>
  <si>
    <t xml:space="preserve">швидко зупинити акцію, яка працює не так, як планувалося</t>
  </si>
  <si>
    <t xml:space="preserve">Деактивований код відхиляється з тим самим повідомленням, що й прострочений; статистика за ним зберігається</t>
  </si>
  <si>
    <t xml:space="preserve">US-14</t>
  </si>
  <si>
    <t xml:space="preserve">адміністратор</t>
  </si>
  <si>
    <t xml:space="preserve">налаштовувати курс нарахування і списання бонусних балів</t>
  </si>
  <si>
    <t xml:space="preserve">змінювати умови програми лояльності без розробників</t>
  </si>
  <si>
    <t xml:space="preserve">Курс — додатне число; 0 і від'ємні значення не зберігаються; новий курс діє для нових замовлень і не перераховує вже нараховані бали</t>
  </si>
  <si>
    <t xml:space="preserve">О-6</t>
  </si>
  <si>
    <t xml:space="preserve">US-15</t>
  </si>
  <si>
    <t xml:space="preserve">змінювати поріг безкоштовної доставки</t>
  </si>
  <si>
    <t xml:space="preserve">адаптувати умови доставки до сезонних акцій</t>
  </si>
  <si>
    <t xml:space="preserve">Поріг ≥ 0; нове значення одразу видно в кошику (US-10) і застосовується до нових замовлень</t>
  </si>
  <si>
    <t xml:space="preserve">US-16</t>
  </si>
  <si>
    <t xml:space="preserve">застосовувати промокод і бали на вже наявних кроках кошика й оплати</t>
  </si>
  <si>
    <t xml:space="preserve">оформлення не стало довшим і складнішим</t>
  </si>
  <si>
    <t xml:space="preserve">Чотири кроки оформлення (F-110) лишаються без змін; нових обов'язкових полів немає; замовлення без промокоду й балів оформлюється так само, як зараз</t>
  </si>
  <si>
    <t xml:space="preserve">О-0</t>
  </si>
  <si>
    <t xml:space="preserve">Код</t>
  </si>
  <si>
    <t xml:space="preserve">Очікування замовника (легенда, розд. 3.4)</t>
  </si>
  <si>
    <t xml:space="preserve">User stories</t>
  </si>
  <si>
    <t xml:space="preserve">Кількість stories</t>
  </si>
  <si>
    <t xml:space="preserve">Ролі</t>
  </si>
  <si>
    <t xml:space="preserve">Оформлення замовлення не має стати складнішим (обмеження від керівництва)</t>
  </si>
  <si>
    <t xml:space="preserve">Покупець отримує бонусні бали за кожну оплачену покупку, бачить баланс у кабінеті і може частково оплатити ними наступне замовлення</t>
  </si>
  <si>
    <t xml:space="preserve">US-01, US-02, US-03</t>
  </si>
  <si>
    <t xml:space="preserve">Покупець вводить промокод у кошику; система перевіряє формат, термін дії й одноразовість і показує суму знижки до оплати</t>
  </si>
  <si>
    <t xml:space="preserve">US-04, US-05, US-06</t>
  </si>
  <si>
    <t xml:space="preserve">Знижка за обсяг нараховується автоматично за трьома рівнями суми кошика; застосовується лише найвищий</t>
  </si>
  <si>
    <t xml:space="preserve">US-07, US-08</t>
  </si>
  <si>
    <t xml:space="preserve">Доставка безкоштовна від порогової суми після знижок; поріг видно у кошику</t>
  </si>
  <si>
    <t xml:space="preserve">US-09, US-10</t>
  </si>
  <si>
    <t xml:space="preserve">Менеджер створює промокоди (відсоток або фіксована сума, дата закінчення, одноразовість) і бачить статистику використання</t>
  </si>
  <si>
    <t xml:space="preserve">US-11, US-12, US-13</t>
  </si>
  <si>
    <t xml:space="preserve">Адміністратор налаштовує курс балів і поріг доставки без участі розробників</t>
  </si>
  <si>
    <t xml:space="preserve">US-14, US-15</t>
  </si>
  <si>
    <t xml:space="preserve">Разом stories</t>
  </si>
  <si>
    <t xml:space="preserve">Норматив (4 особи)</t>
  </si>
  <si>
    <t xml:space="preserve">Виконано?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</si>
</sst>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55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35.05" hidden="false" customHeight="false" outlineLevel="0" collapsed="false">
      <c r="A6" s="4" t="s">
        <v>18</v>
      </c>
      <c r="B6" s="4" t="s">
        <v>11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16</v>
      </c>
      <c r="H6" s="4" t="s">
        <v>17</v>
      </c>
    </row>
    <row r="7" customFormat="false" ht="46.25" hidden="false" customHeight="false" outlineLevel="0" collapsed="false">
      <c r="A7" s="4" t="s">
        <v>23</v>
      </c>
      <c r="B7" s="4" t="s">
        <v>11</v>
      </c>
      <c r="C7" s="4" t="s">
        <v>24</v>
      </c>
      <c r="D7" s="4" t="s">
        <v>25</v>
      </c>
      <c r="E7" s="4" t="s">
        <v>14</v>
      </c>
      <c r="F7" s="4" t="s">
        <v>26</v>
      </c>
      <c r="G7" s="4" t="s">
        <v>16</v>
      </c>
      <c r="H7" s="4" t="s">
        <v>17</v>
      </c>
    </row>
    <row r="8" customFormat="false" ht="23.85" hidden="false" customHeight="false" outlineLevel="0" collapsed="false">
      <c r="A8" s="4" t="s">
        <v>27</v>
      </c>
      <c r="B8" s="4" t="s">
        <v>11</v>
      </c>
      <c r="C8" s="4" t="s">
        <v>28</v>
      </c>
      <c r="D8" s="4" t="s">
        <v>29</v>
      </c>
      <c r="E8" s="4" t="s">
        <v>14</v>
      </c>
      <c r="F8" s="4" t="s">
        <v>30</v>
      </c>
      <c r="G8" s="4" t="s">
        <v>31</v>
      </c>
      <c r="H8" s="4" t="s">
        <v>17</v>
      </c>
    </row>
    <row r="9" customFormat="false" ht="35.05" hidden="false" customHeight="false" outlineLevel="0" collapsed="false">
      <c r="A9" s="4" t="s">
        <v>32</v>
      </c>
      <c r="B9" s="4" t="s">
        <v>11</v>
      </c>
      <c r="C9" s="4" t="s">
        <v>33</v>
      </c>
      <c r="D9" s="4" t="s">
        <v>34</v>
      </c>
      <c r="E9" s="4" t="s">
        <v>21</v>
      </c>
      <c r="F9" s="4" t="s">
        <v>35</v>
      </c>
      <c r="G9" s="4" t="s">
        <v>31</v>
      </c>
      <c r="H9" s="4" t="s">
        <v>17</v>
      </c>
    </row>
    <row r="10" customFormat="false" ht="35.05" hidden="false" customHeight="false" outlineLevel="0" collapsed="false">
      <c r="A10" s="4" t="s">
        <v>36</v>
      </c>
      <c r="B10" s="4" t="s">
        <v>11</v>
      </c>
      <c r="C10" s="4" t="s">
        <v>37</v>
      </c>
      <c r="D10" s="4" t="s">
        <v>38</v>
      </c>
      <c r="E10" s="4" t="s">
        <v>14</v>
      </c>
      <c r="F10" s="4" t="s">
        <v>39</v>
      </c>
      <c r="G10" s="4" t="s">
        <v>31</v>
      </c>
      <c r="H10" s="4" t="s">
        <v>17</v>
      </c>
    </row>
    <row r="11" customFormat="false" ht="35.05" hidden="false" customHeight="false" outlineLevel="0" collapsed="false">
      <c r="A11" s="4" t="s">
        <v>40</v>
      </c>
      <c r="B11" s="4" t="s">
        <v>11</v>
      </c>
      <c r="C11" s="4" t="s">
        <v>41</v>
      </c>
      <c r="D11" s="4" t="s">
        <v>42</v>
      </c>
      <c r="E11" s="4" t="s">
        <v>14</v>
      </c>
      <c r="F11" s="4" t="s">
        <v>43</v>
      </c>
      <c r="G11" s="4" t="s">
        <v>44</v>
      </c>
      <c r="H11" s="4" t="s">
        <v>17</v>
      </c>
    </row>
    <row r="12" customFormat="false" ht="23.85" hidden="false" customHeight="false" outlineLevel="0" collapsed="false">
      <c r="A12" s="4" t="s">
        <v>45</v>
      </c>
      <c r="B12" s="4" t="s">
        <v>11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44</v>
      </c>
      <c r="H12" s="4" t="s">
        <v>17</v>
      </c>
    </row>
    <row r="13" customFormat="false" ht="35.05" hidden="false" customHeight="false" outlineLevel="0" collapsed="false">
      <c r="A13" s="4" t="s">
        <v>50</v>
      </c>
      <c r="B13" s="4" t="s">
        <v>11</v>
      </c>
      <c r="C13" s="4" t="s">
        <v>51</v>
      </c>
      <c r="D13" s="4" t="s">
        <v>52</v>
      </c>
      <c r="E13" s="4" t="s">
        <v>14</v>
      </c>
      <c r="F13" s="4" t="s">
        <v>53</v>
      </c>
      <c r="G13" s="4" t="s">
        <v>54</v>
      </c>
      <c r="H13" s="4" t="s">
        <v>17</v>
      </c>
    </row>
    <row r="14" customFormat="false" ht="35.05" hidden="false" customHeight="false" outlineLevel="0" collapsed="false">
      <c r="A14" s="4" t="s">
        <v>55</v>
      </c>
      <c r="B14" s="4" t="s">
        <v>11</v>
      </c>
      <c r="C14" s="4" t="s">
        <v>56</v>
      </c>
      <c r="D14" s="4" t="s">
        <v>57</v>
      </c>
      <c r="E14" s="4" t="s">
        <v>21</v>
      </c>
      <c r="F14" s="4" t="s">
        <v>58</v>
      </c>
      <c r="G14" s="4" t="s">
        <v>54</v>
      </c>
      <c r="H14" s="4" t="s">
        <v>17</v>
      </c>
    </row>
    <row r="15" customFormat="false" ht="46.25" hidden="false" customHeight="false" outlineLevel="0" collapsed="false">
      <c r="A15" s="4" t="s">
        <v>59</v>
      </c>
      <c r="B15" s="4" t="s">
        <v>60</v>
      </c>
      <c r="C15" s="4" t="s">
        <v>61</v>
      </c>
      <c r="D15" s="4" t="s">
        <v>62</v>
      </c>
      <c r="E15" s="4" t="s">
        <v>14</v>
      </c>
      <c r="F15" s="4" t="s">
        <v>63</v>
      </c>
      <c r="G15" s="4" t="s">
        <v>64</v>
      </c>
      <c r="H15" s="4" t="s">
        <v>17</v>
      </c>
    </row>
    <row r="16" customFormat="false" ht="23.85" hidden="false" customHeight="false" outlineLevel="0" collapsed="false">
      <c r="A16" s="4" t="s">
        <v>65</v>
      </c>
      <c r="B16" s="4" t="s">
        <v>60</v>
      </c>
      <c r="C16" s="4" t="s">
        <v>66</v>
      </c>
      <c r="D16" s="4" t="s">
        <v>67</v>
      </c>
      <c r="E16" s="4" t="s">
        <v>21</v>
      </c>
      <c r="F16" s="4" t="s">
        <v>68</v>
      </c>
      <c r="G16" s="4" t="s">
        <v>64</v>
      </c>
      <c r="H16" s="4" t="s">
        <v>17</v>
      </c>
    </row>
    <row r="17" customFormat="false" ht="23.85" hidden="false" customHeight="false" outlineLevel="0" collapsed="false">
      <c r="A17" s="4" t="s">
        <v>69</v>
      </c>
      <c r="B17" s="4" t="s">
        <v>60</v>
      </c>
      <c r="C17" s="4" t="s">
        <v>70</v>
      </c>
      <c r="D17" s="4" t="s">
        <v>71</v>
      </c>
      <c r="E17" s="4" t="s">
        <v>48</v>
      </c>
      <c r="F17" s="4" t="s">
        <v>72</v>
      </c>
      <c r="G17" s="4" t="s">
        <v>64</v>
      </c>
      <c r="H17" s="4" t="s">
        <v>17</v>
      </c>
    </row>
    <row r="18" customFormat="false" ht="35.05" hidden="false" customHeight="false" outlineLevel="0" collapsed="false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21</v>
      </c>
      <c r="F18" s="4" t="s">
        <v>77</v>
      </c>
      <c r="G18" s="4" t="s">
        <v>78</v>
      </c>
      <c r="H18" s="4" t="s">
        <v>17</v>
      </c>
    </row>
    <row r="19" customFormat="false" ht="23.85" hidden="false" customHeight="false" outlineLevel="0" collapsed="false">
      <c r="A19" s="4" t="s">
        <v>79</v>
      </c>
      <c r="B19" s="4" t="s">
        <v>74</v>
      </c>
      <c r="C19" s="4" t="s">
        <v>80</v>
      </c>
      <c r="D19" s="4" t="s">
        <v>81</v>
      </c>
      <c r="E19" s="4" t="s">
        <v>21</v>
      </c>
      <c r="F19" s="4" t="s">
        <v>82</v>
      </c>
      <c r="G19" s="4" t="s">
        <v>78</v>
      </c>
      <c r="H19" s="4" t="s">
        <v>17</v>
      </c>
    </row>
    <row r="20" customFormat="false" ht="35.05" hidden="false" customHeight="false" outlineLevel="0" collapsed="false">
      <c r="A20" s="4" t="s">
        <v>83</v>
      </c>
      <c r="B20" s="4" t="s">
        <v>11</v>
      </c>
      <c r="C20" s="4" t="s">
        <v>84</v>
      </c>
      <c r="D20" s="4" t="s">
        <v>85</v>
      </c>
      <c r="E20" s="4" t="s">
        <v>14</v>
      </c>
      <c r="F20" s="4" t="s">
        <v>86</v>
      </c>
      <c r="G20" s="4" t="s">
        <v>87</v>
      </c>
      <c r="H20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3" t="s">
        <v>88</v>
      </c>
      <c r="B3" s="3" t="s">
        <v>89</v>
      </c>
      <c r="C3" s="3" t="s">
        <v>90</v>
      </c>
      <c r="D3" s="3" t="s">
        <v>91</v>
      </c>
      <c r="E3" s="3" t="s">
        <v>92</v>
      </c>
    </row>
    <row r="4" customFormat="false" ht="23.85" hidden="false" customHeight="false" outlineLevel="0" collapsed="false">
      <c r="A4" s="4" t="s">
        <v>87</v>
      </c>
      <c r="B4" s="4" t="s">
        <v>93</v>
      </c>
      <c r="C4" s="4" t="s">
        <v>83</v>
      </c>
      <c r="D4" s="4" t="n">
        <f aca="false">COUNTIF(Беклог!$G$5:$G$20,A4)</f>
        <v>1</v>
      </c>
      <c r="E4" s="4" t="s">
        <v>11</v>
      </c>
    </row>
    <row r="5" customFormat="false" ht="35.05" hidden="false" customHeight="false" outlineLevel="0" collapsed="false">
      <c r="A5" s="4" t="s">
        <v>16</v>
      </c>
      <c r="B5" s="4" t="s">
        <v>94</v>
      </c>
      <c r="C5" s="4" t="s">
        <v>95</v>
      </c>
      <c r="D5" s="4" t="n">
        <f aca="false">COUNTIF(Беклог!$G$5:$G$20,A5)</f>
        <v>3</v>
      </c>
      <c r="E5" s="4" t="s">
        <v>11</v>
      </c>
    </row>
    <row r="6" customFormat="false" ht="23.85" hidden="false" customHeight="false" outlineLevel="0" collapsed="false">
      <c r="A6" s="4" t="s">
        <v>31</v>
      </c>
      <c r="B6" s="4" t="s">
        <v>96</v>
      </c>
      <c r="C6" s="4" t="s">
        <v>97</v>
      </c>
      <c r="D6" s="4" t="n">
        <f aca="false">COUNTIF(Беклог!$G$5:$G$20,A6)</f>
        <v>3</v>
      </c>
      <c r="E6" s="4" t="s">
        <v>11</v>
      </c>
    </row>
    <row r="7" customFormat="false" ht="23.85" hidden="false" customHeight="false" outlineLevel="0" collapsed="false">
      <c r="A7" s="4" t="s">
        <v>44</v>
      </c>
      <c r="B7" s="4" t="s">
        <v>98</v>
      </c>
      <c r="C7" s="4" t="s">
        <v>99</v>
      </c>
      <c r="D7" s="4" t="n">
        <f aca="false">COUNTIF(Беклог!$G$5:$G$20,A7)</f>
        <v>2</v>
      </c>
      <c r="E7" s="4" t="s">
        <v>11</v>
      </c>
    </row>
    <row r="8" customFormat="false" ht="23.85" hidden="false" customHeight="false" outlineLevel="0" collapsed="false">
      <c r="A8" s="4" t="s">
        <v>54</v>
      </c>
      <c r="B8" s="4" t="s">
        <v>100</v>
      </c>
      <c r="C8" s="4" t="s">
        <v>101</v>
      </c>
      <c r="D8" s="4" t="n">
        <f aca="false">COUNTIF(Беклог!$G$5:$G$20,A8)</f>
        <v>2</v>
      </c>
      <c r="E8" s="4" t="s">
        <v>11</v>
      </c>
    </row>
    <row r="9" customFormat="false" ht="23.85" hidden="false" customHeight="false" outlineLevel="0" collapsed="false">
      <c r="A9" s="4" t="s">
        <v>64</v>
      </c>
      <c r="B9" s="4" t="s">
        <v>102</v>
      </c>
      <c r="C9" s="4" t="s">
        <v>103</v>
      </c>
      <c r="D9" s="4" t="n">
        <f aca="false">COUNTIF(Беклог!$G$5:$G$20,A9)</f>
        <v>3</v>
      </c>
      <c r="E9" s="4" t="s">
        <v>60</v>
      </c>
    </row>
    <row r="10" customFormat="false" ht="23.85" hidden="false" customHeight="false" outlineLevel="0" collapsed="false">
      <c r="A10" s="4" t="s">
        <v>78</v>
      </c>
      <c r="B10" s="4" t="s">
        <v>104</v>
      </c>
      <c r="C10" s="4" t="s">
        <v>105</v>
      </c>
      <c r="D10" s="4" t="n">
        <f aca="false">COUNTIF(Беклог!$G$5:$G$20,A10)</f>
        <v>2</v>
      </c>
      <c r="E10" s="4" t="s">
        <v>74</v>
      </c>
    </row>
    <row r="11" customFormat="false" ht="15" hidden="false" customHeight="false" outlineLevel="0" collapsed="false">
      <c r="C11" s="1" t="s">
        <v>106</v>
      </c>
      <c r="D11" s="1" t="n">
        <f aca="false">SUM(D4:D10)</f>
        <v>16</v>
      </c>
    </row>
    <row r="12" customFormat="false" ht="15" hidden="false" customHeight="false" outlineLevel="0" collapsed="false">
      <c r="C12" s="2" t="s">
        <v>107</v>
      </c>
      <c r="D12" s="2" t="n">
        <v>12</v>
      </c>
    </row>
    <row r="13" customFormat="false" ht="15" hidden="false" customHeight="false" outlineLevel="0" collapsed="false">
      <c r="C13" s="2" t="s">
        <v>108</v>
      </c>
      <c r="D13" s="1" t="str">
        <f aca="false">IF(D11&gt;=D12,"так","ні")</f>
        <v>так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2026-09-23T20:14:20Z</dcterms:created>
  <dc:creator>openpyxl</dc:creator>
  <dc:description/>
  <dc:language>en-US</dc:language>
  <cp:lastModifiedBy/>
  <dcterms:modified xsi:type="dcterms:W3CDTF">2026-09-23T20:14:20Z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