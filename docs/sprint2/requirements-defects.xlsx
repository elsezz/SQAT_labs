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тул" sheetId="1" state="visible" r:id="rId1"/>
    <sheet xmlns:r="http://schemas.openxmlformats.org/officeDocument/2006/relationships" name="Реєстр" sheetId="2" state="visible" r:id="rId2"/>
    <sheet xmlns:r="http://schemas.openxmlformats.org/officeDocument/2006/relationships" name="Зведення" sheetId="3" state="visible" r:id="rId3"/>
    <sheet xmlns:r="http://schemas.openxmlformats.org/officeDocument/2006/relationships" name="Розподіл розділів" sheetId="4" state="visible" r:id="rId4"/>
    <sheet xmlns:r="http://schemas.openxmlformats.org/officeDocument/2006/relationships" name="Спірні" sheetId="5" state="visible" r:id="rId5"/>
    <sheet xmlns:r="http://schemas.openxmlformats.org/officeDocument/2006/relationships" name="Питання замовник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Параметр</t>
        </is>
      </c>
      <c r="B1" s="1" t="inlineStr">
        <is>
          <t>Значення</t>
        </is>
      </c>
    </row>
    <row r="2">
      <c r="A2" s="2" t="inlineStr">
        <is>
          <t>Документ</t>
        </is>
      </c>
      <c r="B2" s="2" t="inlineStr">
        <is>
          <t>Реєстр дефектів вимог (шаблон 6)</t>
        </is>
      </c>
    </row>
    <row r="3">
      <c r="A3" s="2" t="inlineStr">
        <is>
          <t>Продукт</t>
        </is>
      </c>
      <c r="B3" s="2" t="inlineStr">
        <is>
          <t>П1 «ШопЛайн»</t>
        </is>
      </c>
    </row>
    <row r="4">
      <c r="A4" s="2" t="inlineStr">
        <is>
          <t>Спринт</t>
        </is>
      </c>
      <c r="B4" s="2" t="inlineStr">
        <is>
          <t>2 «Аудит вимог і стратегія тестування»</t>
        </is>
      </c>
    </row>
    <row r="5">
      <c r="A5" s="2" t="inlineStr">
        <is>
          <t>Команда</t>
        </is>
      </c>
      <c r="B5" s="2" t="inlineStr">
        <is>
          <t>С</t>
        </is>
      </c>
    </row>
    <row r="6">
      <c r="A6" s="2" t="inlineStr">
        <is>
          <t>Об'єкт аудиту</t>
        </is>
      </c>
      <c r="B6" s="2" t="inlineStr">
        <is>
          <t>SRS «ШопЛайн» 1.0 (вересень 2026)</t>
        </is>
      </c>
    </row>
    <row r="7">
      <c r="A7" s="2" t="inlineStr">
        <is>
          <t>Дата</t>
        </is>
      </c>
      <c r="B7" s="2" t="inlineStr">
        <is>
          <t>жовтень 2026</t>
        </is>
      </c>
    </row>
    <row r="8">
      <c r="A8" s="2" t="inlineStr">
        <is>
          <t>Зведення</t>
        </is>
      </c>
      <c r="B8" s="2" t="inlineStr">
        <is>
          <t>Пінчук К. (тест-аналітик)</t>
        </is>
      </c>
    </row>
    <row r="9">
      <c r="A9" s="2" t="inlineStr">
        <is>
          <t>Модерація обговорення</t>
        </is>
      </c>
      <c r="B9" s="2" t="inlineStr">
        <is>
          <t>Гаєвський А. (керівник тестування)</t>
        </is>
      </c>
    </row>
    <row r="10">
      <c r="A10" s="2" t="inlineStr">
        <is>
          <t>Адвокат замовника</t>
        </is>
      </c>
      <c r="B10" s="2" t="inlineStr">
        <is>
          <t>Сапронов А. (скрам-майстер / рецензент)</t>
        </is>
      </c>
    </row>
    <row r="11">
      <c r="A11" s="2" t="inlineStr">
        <is>
          <t>Автори знахідок</t>
        </is>
      </c>
      <c r="B11" s="2" t="inlineStr">
        <is>
          <t>Пінчук К., Новосьолова О., Сапронов А., Гаєвський 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55" customWidth="1" min="4" max="4"/>
    <col width="60" customWidth="1" min="5" max="5"/>
    <col width="22" customWidth="1" min="6" max="6"/>
    <col width="30" customWidth="1" min="7" max="7"/>
  </cols>
  <sheetData>
    <row r="1">
      <c r="A1" s="1" t="inlineStr">
        <is>
          <t>№</t>
        </is>
      </c>
      <c r="B1" s="1" t="inlineStr">
        <is>
          <t>ID вимоги</t>
        </is>
      </c>
      <c r="C1" s="1" t="inlineStr">
        <is>
          <t>Критерій</t>
        </is>
      </c>
      <c r="D1" s="1" t="inlineStr">
        <is>
          <t>Опис дефекту (пункт чек-листа, цитата)</t>
        </is>
      </c>
      <c r="E1" s="1" t="inlineStr">
        <is>
          <t>Пропозиція виправлення</t>
        </is>
      </c>
      <c r="F1" s="1" t="inlineStr">
        <is>
          <t>Хто знайшов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F-20</t>
        </is>
      </c>
      <c r="C2" s="2" t="inlineStr">
        <is>
          <t>Однозначність</t>
        </is>
      </c>
      <c r="D2" s="2" t="inlineStr">
        <is>
          <t>п. 1, 4 чек-листа: «Після успішного входу система перенаправляє користувача на відповідну сторінку» — «відповідна» не визначена; тест-кейс входу не має одного очікуваного результату.</t>
        </is>
      </c>
      <c r="E2" s="2" t="inlineStr">
        <is>
          <t>«Після успішного входу система перенаправляє користувача на сторінку особистого кабінету «My account» (/account); якщо вхід виконано на кроці «Sign in» оформлення замовлення — на крок «Billing Address»».</t>
        </is>
      </c>
      <c r="F2" s="2" t="inlineStr">
        <is>
          <t>Пінчук К., Гаєвський А.</t>
        </is>
      </c>
      <c r="G2" s="2" t="inlineStr">
        <is>
          <t>прийнято</t>
        </is>
      </c>
    </row>
    <row r="3">
      <c r="A3" s="2" t="n">
        <v>2</v>
      </c>
      <c r="B3" s="2" t="inlineStr">
        <is>
          <t>F-60</t>
        </is>
      </c>
      <c r="C3" s="2" t="inlineStr">
        <is>
          <t>Однозначність</t>
        </is>
      </c>
      <c r="D3" s="2" t="inlineStr">
        <is>
          <t>п. 1, 4: «знайти товари, назви яких схожі на введений запит» — «схожі» допускає підрядок, нечіткий пошук, синоніми; невідомо, які товари мають потрапити у результат.</t>
        </is>
      </c>
      <c r="E3" s="2" t="inlineStr">
        <is>
          <t>«Поле пошуку знаходить товари, назва яких містить введений запит як підрядок без урахування регістру. Якщо збігів немає, система показує повідомлення «There are no products found.»».</t>
        </is>
      </c>
      <c r="F3" s="2" t="inlineStr">
        <is>
          <t>Пінчук К.</t>
        </is>
      </c>
      <c r="G3" s="2" t="inlineStr">
        <is>
          <t>прийнято</t>
        </is>
      </c>
    </row>
    <row r="4">
      <c r="A4" s="2" t="n">
        <v>3</v>
      </c>
      <c r="B4" s="2" t="inlineStr">
        <is>
          <t>GUI-50</t>
        </is>
      </c>
      <c r="C4" s="2" t="inlineStr">
        <is>
          <t>Однозначність</t>
        </is>
      </c>
      <c r="D4" s="2" t="inlineStr">
        <is>
          <t>п. 4: «відображається біля відповідного поля або у верхній частині форми» — два допустимі місця, тест має два очікувані результати.</t>
        </is>
      </c>
      <c r="E4" s="2" t="inlineStr">
        <is>
          <t>«Повідомлення про помилку валідації відображається текстом безпосередньо під відповідним полем; форма з помилками не надсилається, введені дані у полях зберігаються».</t>
        </is>
      </c>
      <c r="F4" s="2" t="inlineStr">
        <is>
          <t>Гаєвський А., Новосьолова О.</t>
        </is>
      </c>
      <c r="G4" s="2" t="inlineStr">
        <is>
          <t>прийнято</t>
        </is>
      </c>
    </row>
    <row r="5">
      <c r="A5" s="2" t="n">
        <v>4</v>
      </c>
      <c r="B5" s="2" t="inlineStr">
        <is>
          <t>F-110</t>
        </is>
      </c>
      <c r="C5" s="2" t="inlineStr">
        <is>
          <t>Однозначність</t>
        </is>
      </c>
      <c r="D5" s="2" t="inlineStr">
        <is>
          <t>п. 5: крок «Billing Address» (платіжна адреса) описано як «підтверджує адресу доставки»; термін «адреса доставки» у 1.3 відсутній, billing і shipping address — різні поняття.</t>
        </is>
      </c>
      <c r="E5" s="2" t="inlineStr">
        <is>
          <t>Термін «Адреса доставки» додано до 1.3: «адреса, за якою доставляється замовлення; у версії 1.0 вводиться на кроці «Billing Address» і збігається з платіжною адресою». У F-110: «на кроці 3 «Billing Address» підтверджує адресу доставки (див. 1.3)…».</t>
        </is>
      </c>
      <c r="F5" s="2" t="inlineStr">
        <is>
          <t>Пінчук К., Гаєвський А.</t>
        </is>
      </c>
      <c r="G5" s="2" t="inlineStr">
        <is>
          <t>прийнято</t>
        </is>
      </c>
    </row>
    <row r="6">
      <c r="A6" s="2" t="n">
        <v>5</v>
      </c>
      <c r="B6" s="2" t="inlineStr">
        <is>
          <t>F-10</t>
        </is>
      </c>
      <c r="C6" s="2" t="inlineStr">
        <is>
          <t>Повнота</t>
        </is>
      </c>
      <c r="D6" s="2" t="inlineStr">
        <is>
          <t>п. 1, 4, 5: «обов'язковість полів позначено у формі зірочкою» — які поля обов'язкові, не визначено; не описано реакцію на вже зареєстровану адресу email і на пароль, що не відповідає правилам.</t>
        </is>
      </c>
      <c r="E6" s="2" t="inlineStr">
        <is>
          <t>«…Обов'язкові всі поля, крім «номер будинку» (потребує підтвердження замовником). Якщо адреса email уже зареєстрована, система показує «A customer with this email address already exists.», обліковий запис не створюється; якщо пароль не відповідає правилам — повідомлення за GUI-50, обліковий запис не створюється».</t>
        </is>
      </c>
      <c r="F6" s="2" t="inlineStr">
        <is>
          <t>Пінчук К., Гаєвський А.</t>
        </is>
      </c>
      <c r="G6" s="2" t="inlineStr">
        <is>
          <t>прийнято</t>
        </is>
      </c>
    </row>
    <row r="7">
      <c r="A7" s="2" t="n">
        <v>6</v>
      </c>
      <c r="B7" s="2" t="inlineStr">
        <is>
          <t>F-140</t>
        </is>
      </c>
      <c r="C7" s="2" t="inlineStr">
        <is>
          <t>Повнота</t>
        </is>
      </c>
      <c r="D7" s="2" t="inlineStr">
        <is>
          <t>п. 4, 5: «До звернення можна додати файл-вкладення» — допустимі формати і розмір не визначені; реакція на недопустимий файл і на повідомлення коротше 50 символів не описана.</t>
        </is>
      </c>
      <c r="E7" s="2" t="inlineStr">
        <is>
          <t>«Вкладення необов'язкове: один файл .txt, .pdf, .jpg або .png розміром до 2 МБ (потребує підтвердження замовником); інакше під полем — «Invalid file», звернення не надсилається. Повідомлення коротше 50 символів — «Message must be minimal 50 characters», звернення не надсилається».</t>
        </is>
      </c>
      <c r="F7" s="2" t="inlineStr">
        <is>
          <t>Пінчук К.</t>
        </is>
      </c>
      <c r="G7" s="2" t="inlineStr">
        <is>
          <t>прийнято</t>
        </is>
      </c>
    </row>
    <row r="8">
      <c r="A8" s="2" t="n">
        <v>7</v>
      </c>
      <c r="B8" s="2" t="inlineStr">
        <is>
          <t>BL-70</t>
        </is>
      </c>
      <c r="C8" s="2" t="inlineStr">
        <is>
          <t>Повнота</t>
        </is>
      </c>
      <c r="D8" s="2" t="inlineStr">
        <is>
          <t>п. 4, 5: не описано поведінку для коду, якого немає в довіднику, і для null-аргументів; «причина відмови» не має визначеного переліку значень — юніт-тест не може перевірити причину.</t>
        </is>
      </c>
      <c r="E8" s="2" t="inlineStr">
        <is>
          <t>«…Якщо код не знайдено — непридатний з причиною NOT_FOUND. Причини відмови: NOT_FOUND, INVALID_LENGTH, EXPIRED, ALREADY_USED, INVALID_VALUE; для придатного коду — порожня. Якщо будь-який аргумент null — IllegalArgumentException».</t>
        </is>
      </c>
      <c r="F8" s="2" t="inlineStr">
        <is>
          <t>Пінчук К., Сапронов А.</t>
        </is>
      </c>
      <c r="G8" s="2" t="inlineStr">
        <is>
          <t>прийнято</t>
        </is>
      </c>
    </row>
    <row r="9">
      <c r="A9" s="2" t="n">
        <v>8</v>
      </c>
      <c r="B9" s="2" t="inlineStr">
        <is>
          <t>D-10</t>
        </is>
      </c>
      <c r="C9" s="2" t="inlineStr">
        <is>
          <t>Повнота</t>
        </is>
      </c>
      <c r="D9" s="2" t="inlineStr">
        <is>
          <t>п. 3: посилання на «Регламент програми лояльності ШопЛайн-ЛП-2025», розділ 4 — документ не входить до переліку 1.4 і команді не переданий.</t>
        </is>
      </c>
      <c r="E9" s="2" t="inlineStr">
        <is>
          <t>«…розділ про програму лояльності описує правила знижки за обсяг, вартості доставки і промокодів відповідно до вимог BL-50 … BL-80 цієї специфікації».</t>
        </is>
      </c>
      <c r="F9" s="2" t="inlineStr">
        <is>
          <t>Новосьолова О., Сапронов А.</t>
        </is>
      </c>
      <c r="G9" s="2" t="inlineStr">
        <is>
          <t>прийнято</t>
        </is>
      </c>
    </row>
    <row r="10">
      <c r="A10" s="2" t="n">
        <v>9</v>
      </c>
      <c r="B10" s="2" t="inlineStr">
        <is>
          <t>F-110</t>
        </is>
      </c>
      <c r="C10" s="2" t="inlineStr">
        <is>
          <t>Несуперечливість</t>
        </is>
      </c>
      <c r="D10" s="2" t="inlineStr">
        <is>
          <t>п. 2: F-110 «для замовлень від 2000 грн доставка безкоштовна» суперечить BL-60 «0.00 грн, якщо сума після знижки не менша за 1500 грн».</t>
        </is>
      </c>
      <c r="E10" s="2" t="inlineStr">
        <is>
          <t>F-110: «…вартість доставки визначається за BL-60: 0 грн, якщо сума після знижок не менша за 1500 грн, інакше 120 грн» (поріг 1500 грн після знижки потребує підтвердження замовником).</t>
        </is>
      </c>
      <c r="F10" s="2" t="inlineStr">
        <is>
          <t>Пінчук К., Сапронов А.</t>
        </is>
      </c>
      <c r="G10" s="2" t="inlineStr">
        <is>
          <t>прийнято</t>
        </is>
      </c>
    </row>
    <row r="11">
      <c r="A11" s="2" t="n">
        <v>10</v>
      </c>
      <c r="B11" s="2" t="inlineStr">
        <is>
          <t>F-40</t>
        </is>
      </c>
      <c r="C11" s="2" t="inlineStr">
        <is>
          <t>Несуперечливість</t>
        </is>
      </c>
      <c r="D11" s="2" t="inlineStr">
        <is>
          <t>п. 2: F-40 «по 9 карток на сторінці» суперечить GUI-20 «по 12 карток на сторінці».</t>
        </is>
      </c>
      <c r="E11" s="2" t="inlineStr">
        <is>
          <t>GUI-20: «Картки каталогу розміщуються сіткою у три колонки по 9 карток на сторінці (три ряди)…» — узгоджено з F-40 і поточною версією demo.</t>
        </is>
      </c>
      <c r="F11" s="2" t="inlineStr">
        <is>
          <t>Пінчук К., Новосьолова О.</t>
        </is>
      </c>
      <c r="G11" s="2" t="inlineStr">
        <is>
          <t>прийнято</t>
        </is>
      </c>
    </row>
    <row r="12">
      <c r="A12" s="2" t="n">
        <v>11</v>
      </c>
      <c r="B12" s="2" t="inlineStr">
        <is>
          <t>F-120</t>
        </is>
      </c>
      <c r="C12" s="2" t="inlineStr">
        <is>
          <t>Несуперечливість</t>
        </is>
      </c>
      <c r="D12" s="2" t="inlineStr">
        <is>
          <t>п. 2: F-120 «додати товар до списку обраного … без входу в систему» суперечить GUI-40 (гостю — «Unauthorized…», товар не додається) і ролям 2.1 (обране — лише зареєстрованому покупцю).</t>
        </is>
      </c>
      <c r="E12" s="2" t="inlineStr">
        <is>
          <t>F-120: «Зареєстрований покупець, який увійшов у систему, додає товар до списку обраного кнопкою «Add to favourites»; для гостя поведінку визначає GUI-40. Список обраного доступний у кабінеті («My favorites»), де позицію можна видалити».</t>
        </is>
      </c>
      <c r="F12" s="2" t="inlineStr">
        <is>
          <t>Гаєвський А., Новосьолова О.</t>
        </is>
      </c>
      <c r="G12" s="2" t="inlineStr">
        <is>
          <t>прийнято</t>
        </is>
      </c>
    </row>
    <row r="13">
      <c r="A13" s="2" t="n">
        <v>12</v>
      </c>
      <c r="B13" s="2" t="inlineStr">
        <is>
          <t>GUI-30</t>
        </is>
      </c>
      <c r="C13" s="2" t="inlineStr">
        <is>
          <t>Несуперечливість</t>
        </is>
      </c>
      <c r="D13" s="2" t="inlineStr">
        <is>
          <t>п. 2: GUI-30 «приймає значення від 0 до 100» суперечить BL-10 / BL-40 (qty від 1 до 99): інтерфейс дозволяє кількість, яку модуль відхиляє.</t>
        </is>
      </c>
      <c r="E13" s="2" t="inlineStr">
        <is>
          <t>GUI-30: «…приймає цілі значення від 1 до 99; значення за замовчуванням — 1; на межах кнопка «−» (при 1) або «+» (при 99) неактивна; введене вручну значення поза межами замінюється найближчою межею».</t>
        </is>
      </c>
      <c r="F13" s="2" t="inlineStr">
        <is>
          <t>Гаєвський А., Сапронов А.</t>
        </is>
      </c>
      <c r="G13" s="2" t="inlineStr">
        <is>
          <t>прийнято</t>
        </is>
      </c>
    </row>
    <row r="14">
      <c r="A14" s="2" t="n">
        <v>13</v>
      </c>
      <c r="B14" s="2" t="inlineStr">
        <is>
          <t>розд. 6, рядок після U-20, без ID (→ U-30)</t>
        </is>
      </c>
      <c r="C14" s="2" t="inlineStr">
        <is>
          <t>Несуперечливість</t>
        </is>
      </c>
      <c r="D14" s="2" t="inlineStr">
        <is>
          <t>п. 2: вимога «коректно відображається за ширини вікна 375 пікселів» суперечить 2.2 «настільні ОС; мінімальна роздільна здатність вікна 1280×800».</t>
        </is>
      </c>
      <c r="E14" s="2" t="inlineStr">
        <is>
          <t>2.2: «Підтримувані браузери: Chrome 120+ і Firefox 115+ на настільних ОС (вікно від 1280×800) та Chrome і Safari на мобільних пристроях (ширина вікна від 375 пікселів)» (потребує підтвердження замовником).</t>
        </is>
      </c>
      <c r="F14" s="2" t="inlineStr">
        <is>
          <t>Сапронов А.</t>
        </is>
      </c>
      <c r="G14" s="2" t="inlineStr">
        <is>
          <t>прийнято</t>
        </is>
      </c>
    </row>
    <row r="15">
      <c r="A15" s="2" t="n">
        <v>14</v>
      </c>
      <c r="B15" s="2" t="inlineStr">
        <is>
          <t>GUI-60 (форма реєстрації)</t>
        </is>
      </c>
      <c r="C15" s="2" t="inlineStr">
        <is>
          <t>Простежуваність</t>
        </is>
      </c>
      <c r="D15" s="2" t="inlineStr">
        <is>
          <t>п. 1, 2: ідентифікатор GUI-60 присвоєно двом різним вимогам — формі входу і формі реєстрації; посилання «GUI-60» неоднозначне.</t>
        </is>
      </c>
      <c r="E15" s="2" t="inlineStr">
        <is>
          <t>Форма входу лишається GUI-60; формі реєстрації присвоєно вільний проміжний ID GUI-65.</t>
        </is>
      </c>
      <c r="F15" s="2" t="inlineStr">
        <is>
          <t>Гаєвський А., Новосьолова О.</t>
        </is>
      </c>
      <c r="G15" s="2" t="inlineStr">
        <is>
          <t>прийнято</t>
        </is>
      </c>
    </row>
    <row r="16">
      <c r="A16" s="2" t="n">
        <v>15</v>
      </c>
      <c r="B16" s="2" t="inlineStr">
        <is>
          <t>розд. 6, рядок після U-20, без ID</t>
        </is>
      </c>
      <c r="C16" s="2" t="inlineStr">
        <is>
          <t>Простежуваність</t>
        </is>
      </c>
      <c r="D16" s="2" t="inlineStr">
        <is>
          <t>п. 2: вимога «Інтерфейс коректно відображається за ширини вікна 375 пікселів…» не має ідентифікатора.</t>
        </is>
      </c>
      <c r="E16" s="2" t="inlineStr">
        <is>
          <t>Присвоєно наступний вільний ID: U-30.</t>
        </is>
      </c>
      <c r="F16" s="2" t="inlineStr">
        <is>
          <t>Новосьолова О., Сапронов А.</t>
        </is>
      </c>
      <c r="G16" s="2" t="inlineStr">
        <is>
          <t>прийнято</t>
        </is>
      </c>
    </row>
    <row r="17">
      <c r="A17" s="2" t="n">
        <v>16</v>
      </c>
      <c r="B17" s="2" t="inlineStr">
        <is>
          <t>BL-30</t>
        </is>
      </c>
      <c r="C17" s="2" t="inlineStr">
        <is>
          <t>Простежуваність</t>
        </is>
      </c>
      <c r="D17" s="2" t="inlineStr">
        <is>
          <t>п. 1, 5: BL-30 «…не додає окремий рядок, а збільшує кількість у наявному рядку» повторює BL-20 і менш повна (без межі 99).</t>
        </is>
      </c>
      <c r="E17" s="2" t="inlineStr">
        <is>
          <t>BL-30 вилучено із записом у журналі змін; ID не перевикористовується; вимога — BL-20.</t>
        </is>
      </c>
      <c r="F17" s="2" t="inlineStr">
        <is>
          <t>Пінчук К., Сапронов А.</t>
        </is>
      </c>
      <c r="G17" s="2" t="inlineStr">
        <is>
          <t>прийнято</t>
        </is>
      </c>
    </row>
    <row r="18">
      <c r="A18" s="2" t="n">
        <v>17</v>
      </c>
      <c r="B18" s="2" t="inlineStr">
        <is>
          <t>F-100</t>
        </is>
      </c>
      <c r="C18" s="2" t="inlineStr">
        <is>
          <t>Простежуваність</t>
        </is>
      </c>
      <c r="D18" s="2" t="inlineStr">
        <is>
          <t>п. 2: «Обмеження на кількість одиниць у рядку визначає вимога BL-25» — вимоги BL-25 у специфікації немає, зв'язок не простежується.</t>
        </is>
      </c>
      <c r="E18" s="2" t="inlineStr">
        <is>
          <t>«…Кількість одиниць у рядку — від 1 до 99 включно (BL-10, BL-20, BL-40)».</t>
        </is>
      </c>
      <c r="F18" s="2" t="inlineStr">
        <is>
          <t>Пінчук К., Гаєвський А.</t>
        </is>
      </c>
      <c r="G18" s="2" t="inlineStr">
        <is>
          <t>прийнято</t>
        </is>
      </c>
    </row>
    <row r="19">
      <c r="A19" s="2" t="n">
        <v>18</v>
      </c>
      <c r="B19" s="2" t="inlineStr">
        <is>
          <t>F-30</t>
        </is>
      </c>
      <c r="C19" s="2" t="inlineStr">
        <is>
          <t>Здійсненність</t>
        </is>
      </c>
      <c r="D19" s="2" t="inlineStr">
        <is>
          <t>Чек-лист здійсненності (єдиний пункт; виконання залежить від систем, які продукт не контролює): «гарантує його доставку до поштової скриньки … не довше ніж за 1 секунду незалежно від поштового провайдера» — доставка залежить від сторонніх поштових серверів, які продукт не контролює.</t>
        </is>
      </c>
      <c r="E19" s="2" t="inlineStr">
        <is>
          <t>«…система передає лист із посиланням поштовому сервісу не пізніше ніж за 30 с після надсилання форми і показує повідомлення про надсилання; посилання дійсне 24 год» (значення потребують підтвердження замовником).</t>
        </is>
      </c>
      <c r="F19" s="2" t="inlineStr">
        <is>
          <t>Пінчук К., Гаєвський А.</t>
        </is>
      </c>
      <c r="G19" s="2" t="inlineStr">
        <is>
          <t>прийнято</t>
        </is>
      </c>
    </row>
    <row r="20">
      <c r="A20" s="2" t="n">
        <v>19</v>
      </c>
      <c r="B20" s="2" t="inlineStr">
        <is>
          <t>GUI-80</t>
        </is>
      </c>
      <c r="C20" s="2" t="inlineStr">
        <is>
          <t>Здійсненність</t>
        </is>
      </c>
      <c r="D20" s="2" t="inlineStr">
        <is>
          <t>Чек-лист здійсненності (єдиний пункт; фізичні обмеження): «не менше 8K (7680×4320) без стиснення … не довше ніж за 50 мс кожне за будь-якого з'єднання» — нестиснене 8K-зображення ≈ 100 МБ, за 50 мс фізично недосяжно навіть на гігабітному каналі.</t>
        </is>
      </c>
      <c r="E20" s="2" t="inlineStr">
        <is>
          <t>«Зображення на картках каталогу — не менше 400×400 пікселів, на сторінці товару — не менше 1000×1000 пікселів, формат JPEG або WebP; за з'єднання 10 Мбіт/с зображення сторінки товару завантажується не довше ніж за 1 с» (потребує підтвердження замовником).</t>
        </is>
      </c>
      <c r="F20" s="2" t="inlineStr">
        <is>
          <t>Гаєвський А., Новосьолова О.</t>
        </is>
      </c>
      <c r="G20" s="2" t="inlineStr">
        <is>
          <t>прийнято</t>
        </is>
      </c>
    </row>
    <row r="21">
      <c r="A21" s="2" t="n">
        <v>20</v>
      </c>
      <c r="B21" s="2" t="inlineStr">
        <is>
          <t>BL-80</t>
        </is>
      </c>
      <c r="C21" s="2" t="inlineStr">
        <is>
          <t>Здійсненність</t>
        </is>
      </c>
      <c r="D21" s="2" t="inlineStr">
        <is>
          <t>Чек-лист здійсненності (єдиний пункт; залежність від систем, які продукт не контролює, і обмеження 2.3): «перевіряє, що цей код не було використано у жодному іншому інтернет-магазині, зокрема сторонніх» — доступу до даних сторонніх магазинів немає; модуль за 2.3 — бібліотека без зовнішніх залежностей.</t>
        </is>
      </c>
      <c r="E21" s="2" t="inlineStr">
        <is>
          <t>«…Перед застосуванням одноразового коду система перевіряє, що його не використано в жодному замовленні «ШопЛайн»; використаний код відхиляється з причиною ALREADY_USED».</t>
        </is>
      </c>
      <c r="F21" s="2" t="inlineStr">
        <is>
          <t>Пінчук К., Сапронов А.</t>
        </is>
      </c>
      <c r="G21" s="2" t="inlineStr">
        <is>
          <t>прийнято</t>
        </is>
      </c>
    </row>
    <row r="22">
      <c r="A22" s="2" t="n">
        <v>21</v>
      </c>
      <c r="B22" s="2" t="inlineStr">
        <is>
          <t>P-10</t>
        </is>
      </c>
      <c r="C22" s="2" t="inlineStr">
        <is>
          <t>Здійсненність</t>
        </is>
      </c>
      <c r="D22" s="2" t="inlineStr">
        <is>
          <t>Чек-лист здійсненності (єдиний пункт; технологічно недосяжно): «не довше ніж за 0,1 с за будь-якого з'єднання з Інтернетом і на будь-якому пристрої» — недосяжно для повільних з'єднань (2G, супутник) і слабких пристроїв.</t>
        </is>
      </c>
      <c r="E22" s="2" t="inlineStr">
        <is>
          <t>«У Chrome 120+ на ПК за з'єднання 10 Мбіт/с із затримкою до 50 мс сторінка каталогу повністю завантажується (подія load) не довше ніж за 3 с; медіана з 10 вимірювань у DevTools/Lighthouse».</t>
        </is>
      </c>
      <c r="F22" s="2" t="inlineStr">
        <is>
          <t>Новосьолова О., Сапронов А.</t>
        </is>
      </c>
      <c r="G22" s="2" t="inlineStr">
        <is>
          <t>прийнято</t>
        </is>
      </c>
    </row>
    <row r="23">
      <c r="A23" s="2" t="n">
        <v>22</v>
      </c>
      <c r="B23" s="2" t="inlineStr">
        <is>
          <t>F-90</t>
        </is>
      </c>
      <c r="C23" s="2" t="inlineStr">
        <is>
          <t>Тестопридатність</t>
        </is>
      </c>
      <c r="D23" s="2" t="inlineStr">
        <is>
          <t>Тестопридатність, практичний тест (немає числа і способу спостереження; слова-маркери «миттєво», «без помилок»): «додає товар у кошик … миттєво і без помилок» — «миттєво», «без помилок» не дають критерію «пройдено / не пройдено».</t>
        </is>
      </c>
      <c r="E23" s="2" t="inlineStr">
        <is>
          <t>«Натискання «Add to cart» додає товар у кошик у кількості з поля «Quantity»; не пізніше ніж за 2 с з'являється повідомлення «Product added to shopping cart.», а лічильник кошика в шапці збільшується на цю кількість…».</t>
        </is>
      </c>
      <c r="F23" s="2" t="inlineStr">
        <is>
          <t>Пінчук К., Гаєвський А.</t>
        </is>
      </c>
      <c r="G23" s="2" t="inlineStr">
        <is>
          <t>прийнято</t>
        </is>
      </c>
    </row>
    <row r="24">
      <c r="A24" s="2" t="n">
        <v>23</v>
      </c>
      <c r="B24" s="2" t="inlineStr">
        <is>
          <t>GUI-100</t>
        </is>
      </c>
      <c r="C24" s="2" t="inlineStr">
        <is>
          <t>Тестопридатність</t>
        </is>
      </c>
      <c r="D24" s="2" t="inlineStr">
        <is>
          <t>Тестопридатність, практичний тест (немає числа і способу спостереження; суб'єктивні оцінки «приємною», «легкими для читання»): «Кольорова схема … приємною і сучасною, а шрифти — легкими для читання» — суб'єктивні оцінки, спостережуваного критерію немає.</t>
        </is>
      </c>
      <c r="E24" s="2" t="inlineStr">
        <is>
          <t>«Основний текст на всіх сторінках — шрифтом не менше 14 px; контраст тексту до фону — не менше 4,5:1 (WCAG 2.1, рівень AA); перевірка — Lighthouse або axe DevTools».</t>
        </is>
      </c>
      <c r="F24" s="2" t="inlineStr">
        <is>
          <t>Гаєвський А., Новосьолова О.</t>
        </is>
      </c>
      <c r="G24" s="2" t="inlineStr">
        <is>
          <t>прийнято</t>
        </is>
      </c>
    </row>
    <row r="25">
      <c r="A25" s="2" t="n">
        <v>24</v>
      </c>
      <c r="B25" s="2" t="inlineStr">
        <is>
          <t>S-10</t>
        </is>
      </c>
      <c r="C25" s="2" t="inlineStr">
        <is>
          <t>Тестопридатність</t>
        </is>
      </c>
      <c r="D25" s="2" t="inlineStr">
        <is>
          <t>Тестопридатність, практичний тест (класична неперевірювана вимога; слово-маркер «надійно»): «Дані покупців надійно захищені, а система не містить вразливостей» — класична неперевірювана вимога: відсутність усіх вразливостей довести неможливо.</t>
        </is>
      </c>
      <c r="E25" s="2" t="inlineStr">
        <is>
          <t>«Обмін даними — лише HTTPS; паролі зберігаються тільки у вигляді хешу (bcrypt або Argon2); API кабінету й рахунків-інвойсів повертає 401 без токена і 403 на запит даних іншого покупця; сканування OWASP ZAP (baseline) не виявляє вразливостей рівня High».</t>
        </is>
      </c>
      <c r="F25" s="2" t="inlineStr">
        <is>
          <t>Новосьолова О., Сапронов А.</t>
        </is>
      </c>
      <c r="G25" s="2" t="inlineStr">
        <is>
          <t>прийнято</t>
        </is>
      </c>
    </row>
    <row r="26">
      <c r="A26" s="2" t="n">
        <v>25</v>
      </c>
      <c r="B26" s="2" t="inlineStr">
        <is>
          <t>U-10</t>
        </is>
      </c>
      <c r="C26" s="2" t="inlineStr">
        <is>
          <t>Тестопридатність</t>
        </is>
      </c>
      <c r="D26" s="2" t="inlineStr">
        <is>
          <t>Тестопридатність, практичний тест (слова-маркери «інтуїтивно», «зручно»): «Інтерфейс є інтуїтивно зрозумілим і зручним для всіх категорій користувачів» — слова-маркери «інтуїтивно», «зручно», критерію немає.</t>
        </is>
      </c>
      <c r="E26" s="2" t="inlineStr">
        <is>
          <t>«Новий користувач без інструктажу знаходить товар пошуком і оформлює замовлення не довше ніж за 5 хв і не більше ніж з однією помилкою; перевірка на 5 учасниках, критерій — 4 з 5».</t>
        </is>
      </c>
      <c r="F26" s="2" t="inlineStr">
        <is>
          <t>Новосьолова О., Сапронов А.</t>
        </is>
      </c>
      <c r="G26" s="2" t="inlineStr">
        <is>
          <t>прийнято</t>
        </is>
      </c>
    </row>
    <row r="27">
      <c r="A27" s="2" t="n">
        <v>26</v>
      </c>
      <c r="B27" s="2" t="inlineStr">
        <is>
          <t>F-50</t>
        </is>
      </c>
      <c r="C27" s="2" t="inlineStr">
        <is>
          <t>Повнота</t>
        </is>
      </c>
      <c r="D27" s="2" t="inlineStr">
        <is>
          <t>«…за діапазоном ціни (повзунок від 1 до 200)» — діапазон не відповідає реальним цінам інструментів у гривнях.</t>
        </is>
      </c>
      <c r="E27" s="2" t="inlineStr">
        <is>
          <t>«…повзунок від мінімальної до максимальної ціни товарів каталогу».</t>
        </is>
      </c>
      <c r="F27" s="2" t="inlineStr">
        <is>
          <t>Гаєвський А.</t>
        </is>
      </c>
      <c r="G27" s="2" t="inlineStr">
        <is>
          <t>відхилено після обговорення: розд. 2.3 фіксує, що значення demo трактуються як гривні; порушеного пункту чек-листа немає</t>
        </is>
      </c>
    </row>
    <row r="28">
      <c r="A28" s="2" t="n">
        <v>27</v>
      </c>
      <c r="B28" s="2" t="inlineStr">
        <is>
          <t>GUI-10</t>
        </is>
      </c>
      <c r="C28" s="2" t="inlineStr">
        <is>
          <t>Несуперечливість</t>
        </is>
      </c>
      <c r="D28" s="2" t="inlineStr">
        <is>
          <t>Перемикач мови інтерфейсу при тому, що 2.2 фіксує інтерфейс demo англійською.</t>
        </is>
      </c>
      <c r="E28" s="2" t="inlineStr">
        <is>
          <t>Вилучити перемикач мови з GUI-10.</t>
        </is>
      </c>
      <c r="F28" s="2" t="inlineStr">
        <is>
          <t>Новосьолова О.</t>
        </is>
      </c>
      <c r="G28" s="2" t="inlineStr">
        <is>
          <t>відхилено після обговорення: 2.2 описує мову за замовчуванням, перемикач їй не суперечить; перевірка — у плані (локалізація)</t>
        </is>
      </c>
    </row>
    <row r="29">
      <c r="A29" s="2" t="n">
        <v>28</v>
      </c>
      <c r="B29" s="2" t="inlineStr">
        <is>
          <t>розд. 1.4, п. 3</t>
        </is>
      </c>
      <c r="C29" s="2" t="inlineStr">
        <is>
          <t>Повнота</t>
        </is>
      </c>
      <c r="D29" s="2" t="inlineStr">
        <is>
          <t>Посилання на code/modules/shopline/v1/README.md — файлу в репозиторії немає (п. 3 чек-листа).</t>
        </is>
      </c>
      <c r="E29" s="2" t="inlineStr">
        <is>
          <t>Вилучити посилання до появи файлу.</t>
        </is>
      </c>
      <c r="F29" s="2" t="inlineStr">
        <is>
          <t>Сапронов А.</t>
        </is>
      </c>
      <c r="G29" s="2" t="inlineStr">
        <is>
          <t>відхилено після обговорення: вміст README задає D-20, файл створюється у спринті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</cols>
  <sheetData>
    <row r="1">
      <c r="A1" s="1" t="inlineStr">
        <is>
          <t>Критерій</t>
        </is>
      </c>
      <c r="B1" s="1" t="inlineStr">
        <is>
          <t>Прийнято</t>
        </is>
      </c>
      <c r="C1" s="1" t="inlineStr">
        <is>
          <t>≥2 (DoD)</t>
        </is>
      </c>
    </row>
    <row r="2">
      <c r="A2" s="2" t="inlineStr">
        <is>
          <t>Однозначність</t>
        </is>
      </c>
      <c r="B2" s="2">
        <f>COUNTIFS(Реєстр!$C$2:$C$100,A2,Реєстр!$G$2:$G$100,"прийнято")</f>
        <v/>
      </c>
      <c r="C2" s="2">
        <f>IF(B2&gt;=2,"так","ні")</f>
        <v/>
      </c>
    </row>
    <row r="3">
      <c r="A3" s="2" t="inlineStr">
        <is>
          <t>Повнота</t>
        </is>
      </c>
      <c r="B3" s="2">
        <f>COUNTIFS(Реєстр!$C$2:$C$100,A3,Реєстр!$G$2:$G$100,"прийнято")</f>
        <v/>
      </c>
      <c r="C3" s="2">
        <f>IF(B3&gt;=2,"так","ні")</f>
        <v/>
      </c>
    </row>
    <row r="4">
      <c r="A4" s="2" t="inlineStr">
        <is>
          <t>Несуперечливість</t>
        </is>
      </c>
      <c r="B4" s="2">
        <f>COUNTIFS(Реєстр!$C$2:$C$100,A4,Реєстр!$G$2:$G$100,"прийнято")</f>
        <v/>
      </c>
      <c r="C4" s="2">
        <f>IF(B4&gt;=2,"так","ні")</f>
        <v/>
      </c>
    </row>
    <row r="5">
      <c r="A5" s="2" t="inlineStr">
        <is>
          <t>Простежуваність</t>
        </is>
      </c>
      <c r="B5" s="2">
        <f>COUNTIFS(Реєстр!$C$2:$C$100,A5,Реєстр!$G$2:$G$100,"прийнято")</f>
        <v/>
      </c>
      <c r="C5" s="2">
        <f>IF(B5&gt;=2,"так","ні")</f>
        <v/>
      </c>
    </row>
    <row r="6">
      <c r="A6" s="2" t="inlineStr">
        <is>
          <t>Здійсненність</t>
        </is>
      </c>
      <c r="B6" s="2">
        <f>COUNTIFS(Реєстр!$C$2:$C$100,A6,Реєстр!$G$2:$G$100,"прийнято")</f>
        <v/>
      </c>
      <c r="C6" s="2">
        <f>IF(B6&gt;=2,"так","ні")</f>
        <v/>
      </c>
    </row>
    <row r="7">
      <c r="A7" s="2" t="inlineStr">
        <is>
          <t>Тестопридатність</t>
        </is>
      </c>
      <c r="B7" s="2">
        <f>COUNTIFS(Реєстр!$C$2:$C$100,A7,Реєстр!$G$2:$G$100,"прийнято")</f>
        <v/>
      </c>
      <c r="C7" s="2">
        <f>IF(B7&gt;=2,"так","ні")</f>
        <v/>
      </c>
    </row>
    <row r="8">
      <c r="A8" s="2" t="inlineStr">
        <is>
          <t>Усього</t>
        </is>
      </c>
      <c r="B8" s="2">
        <f>SUM(B2:B7)</f>
        <v/>
      </c>
      <c r="C8" s="2">
        <f>IF(B8&gt;=16,"норматив (≥16) виконано","норматив не виконано")</f>
        <v/>
      </c>
    </row>
    <row r="9">
      <c r="A9" s="2" t="n"/>
      <c r="B9" s="2" t="n"/>
      <c r="C9" s="2" t="n"/>
    </row>
    <row r="10">
      <c r="A10" s="2" t="inlineStr">
        <is>
          <t>Учасник</t>
        </is>
      </c>
      <c r="B10" s="2" t="inlineStr">
        <is>
          <t>Прийнято знахідок</t>
        </is>
      </c>
      <c r="C10" s="2" t="inlineStr"/>
    </row>
    <row r="11">
      <c r="A11" s="2" t="inlineStr">
        <is>
          <t>Пінчук К.</t>
        </is>
      </c>
      <c r="B11" s="2">
        <f>COUNTIFS(Реєстр!$F$2:$F$100,"*"&amp;A11&amp;"*",Реєстр!$G$2:$G$100,"прийнято")</f>
        <v/>
      </c>
      <c r="C11" s="2" t="inlineStr"/>
    </row>
    <row r="12">
      <c r="A12" s="2" t="inlineStr">
        <is>
          <t>Новосьолова О.</t>
        </is>
      </c>
      <c r="B12" s="2">
        <f>COUNTIFS(Реєстр!$F$2:$F$100,"*"&amp;A12&amp;"*",Реєстр!$G$2:$G$100,"прийнято")</f>
        <v/>
      </c>
      <c r="C12" s="2" t="inlineStr"/>
    </row>
    <row r="13">
      <c r="A13" s="2" t="inlineStr">
        <is>
          <t>Сапронов А.</t>
        </is>
      </c>
      <c r="B13" s="2">
        <f>COUNTIFS(Реєстр!$F$2:$F$100,"*"&amp;A13&amp;"*",Реєстр!$G$2:$G$100,"прийнято")</f>
        <v/>
      </c>
      <c r="C13" s="2" t="inlineStr"/>
    </row>
    <row r="14">
      <c r="A14" s="2" t="inlineStr">
        <is>
          <t>Гаєвський А.</t>
        </is>
      </c>
      <c r="B14" s="2">
        <f>COUNTIFS(Реєстр!$F$2:$F$100,"*"&amp;A14&amp;"*",Реєстр!$G$2:$G$100,"прийнято")</f>
        <v/>
      </c>
      <c r="C14" s="2" t="inlineStr"/>
    </row>
    <row r="15">
      <c r="A15" s="2" t="n"/>
      <c r="B15" s="2" t="n"/>
      <c r="C15" s="2" t="n"/>
    </row>
    <row r="16">
      <c r="A16" s="2" t="inlineStr">
        <is>
          <t>Відхилено після обговорення</t>
        </is>
      </c>
      <c r="B16" s="2">
        <f>COUNTIF(Реєстр!$G$2:$G$100,"відхилено*")</f>
        <v/>
      </c>
      <c r="C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70" customWidth="1" min="3" max="3"/>
    <col width="12" customWidth="1" min="4" max="4"/>
  </cols>
  <sheetData>
    <row r="1">
      <c r="A1" s="1" t="inlineStr">
        <is>
          <t>Учасник</t>
        </is>
      </c>
      <c r="B1" s="1" t="inlineStr">
        <is>
          <t>Роль у спринті 2</t>
        </is>
      </c>
      <c r="C1" s="1" t="inlineStr">
        <is>
          <t>Розділи SRS для незалежної перевірки</t>
        </is>
      </c>
      <c r="D1" s="1" t="inlineStr">
        <is>
          <t>Строк</t>
        </is>
      </c>
    </row>
    <row r="2">
      <c r="A2" s="2" t="inlineStr">
        <is>
          <t>Пінчук К.</t>
        </is>
      </c>
      <c r="B2" s="2" t="inlineStr">
        <is>
          <t>Тест-аналітик</t>
        </is>
      </c>
      <c r="C2" s="2" t="inlineStr">
        <is>
          <t>1–2 (вступ, загальний опис), 3 (F), 5 (BL)</t>
        </is>
      </c>
      <c r="D2" s="2" t="inlineStr">
        <is>
          <t>дні 1–4</t>
        </is>
      </c>
    </row>
    <row r="3">
      <c r="A3" s="2" t="inlineStr">
        <is>
          <t>Новосьолова О.</t>
        </is>
      </c>
      <c r="B3" s="2" t="inlineStr">
        <is>
          <t>Інженер з тестування</t>
        </is>
      </c>
      <c r="C3" s="2" t="inlineStr">
        <is>
          <t>4 (GUI), 6 (P, S, U, D)</t>
        </is>
      </c>
      <c r="D3" s="2" t="inlineStr">
        <is>
          <t>дні 1–4</t>
        </is>
      </c>
    </row>
    <row r="4">
      <c r="A4" s="2" t="inlineStr">
        <is>
          <t>Сапронов А.</t>
        </is>
      </c>
      <c r="B4" s="2" t="inlineStr">
        <is>
          <t>Скрам-майстер / рецензент</t>
        </is>
      </c>
      <c r="C4" s="2" t="inlineStr">
        <is>
          <t>1–2, 5 (BL), 6 (P, S, U, D)</t>
        </is>
      </c>
      <c r="D4" s="2" t="inlineStr">
        <is>
          <t>дні 1–4</t>
        </is>
      </c>
    </row>
    <row r="5">
      <c r="A5" s="2" t="inlineStr">
        <is>
          <t>Гаєвський А.</t>
        </is>
      </c>
      <c r="B5" s="2" t="inlineStr">
        <is>
          <t>Керівник тестування</t>
        </is>
      </c>
      <c r="C5" s="2" t="inlineStr">
        <is>
          <t>3 (F), 4 (GUI)</t>
        </is>
      </c>
      <c r="D5" s="2" t="inlineStr">
        <is>
          <t>дні 1–4</t>
        </is>
      </c>
    </row>
    <row r="6">
      <c r="A6" s="2" t="inlineStr">
        <is>
          <t>Покриття</t>
        </is>
      </c>
      <c r="B6" s="2" t="inlineStr"/>
      <c r="C6" s="2" t="inlineStr">
        <is>
          <t>1–2: Пінчук, Сапронов · 3: Пінчук, Гаєвський · 4: Гаєвський, Новосьолова · 5: Пінчук, Сапронов · 6: Новосьолова, Сапронов</t>
        </is>
      </c>
      <c r="D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45" customWidth="1" min="3" max="3"/>
    <col width="45" customWidth="1" min="4" max="4"/>
    <col width="40" customWidth="1" min="5" max="5"/>
  </cols>
  <sheetData>
    <row r="1">
      <c r="A1" s="1" t="inlineStr">
        <is>
          <t>Рядок реєстру / пропозиція</t>
        </is>
      </c>
      <c r="B1" s="1" t="inlineStr">
        <is>
          <t>Хто запропонував</t>
        </is>
      </c>
      <c r="C1" s="1" t="inlineStr">
        <is>
          <t>Аргументи «за»</t>
        </is>
      </c>
      <c r="D1" s="1" t="inlineStr">
        <is>
          <t>Аргументи «проти» (адвокат замовника — Сапронов А.)</t>
        </is>
      </c>
      <c r="E1" s="1" t="inlineStr">
        <is>
          <t>Рішення</t>
        </is>
      </c>
    </row>
    <row r="2">
      <c r="A2" s="2" t="inlineStr">
        <is>
          <t>№ 13 — U-30 vs 2.2 (375 px vs 1280×800)</t>
        </is>
      </c>
      <c r="B2" s="2" t="inlineStr">
        <is>
          <t>Сапронов А.</t>
        </is>
      </c>
      <c r="C2" s="2" t="inlineStr">
        <is>
          <t>2.2 прямо обмежує середовище настільними ОС і вікном від 1280×800; U-30 вимагає 375 px — одна з двох вимог хибна (п. 2 чек-листа несуперечливості).</t>
        </is>
      </c>
      <c r="D2" s="2" t="inlineStr">
        <is>
          <t>Мобільний застосунок поза обсягом 1.0 — можливо, U-30 стосується версії 1.1.</t>
        </is>
      </c>
      <c r="E2" s="2" t="inlineStr">
        <is>
          <t>Прийнято. Мобільний застосунок ≠ адаптивна верстка сайту. Яку з вимог залишити — питання замовнику на демо.</t>
        </is>
      </c>
    </row>
    <row r="3">
      <c r="A3" s="2" t="inlineStr">
        <is>
          <t>№ 21 — P-10: здійсненність чи тестопридатність</t>
        </is>
      </c>
      <c r="B3" s="2" t="inlineStr">
        <is>
          <t>Новосьолова О., Сапронов А.</t>
        </is>
      </c>
      <c r="C3" s="2" t="inlineStr">
        <is>
          <t>Число (0,1 с) є, тест написати можна — він просто ніколи не пройде; виправлення змінює недосяжне значення і умови.</t>
        </is>
      </c>
      <c r="D3" s="2" t="inlineStr">
        <is>
          <t>«Будь-яке з'єднання, будь-який пристрій» неможливо відтворити — отже, нетестопридатна.</t>
        </is>
      </c>
      <c r="E3" s="2" t="inlineStr">
        <is>
          <t>Прийнято як здійсненність: виправлення робить вимогу досяжною, умови вимірювання — наслідок.</t>
        </is>
      </c>
    </row>
    <row r="4">
      <c r="A4" s="2" t="inlineStr">
        <is>
          <t>№ 22 — F-90: тестопридатність чи однозначність</t>
        </is>
      </c>
      <c r="B4" s="2" t="inlineStr">
        <is>
          <t>Пінчук К., Гаєвський А.</t>
        </is>
      </c>
      <c r="C4" s="2" t="inlineStr">
        <is>
          <t>Виправлення додає число (2 с) і спосіб спостереження (повідомлення, лічильник) — за п. 12 методички це тестопридатність.</t>
        </is>
      </c>
      <c r="D4" s="2" t="inlineStr">
        <is>
          <t>«Миттєво» читається по-різному — однозначність.</t>
        </is>
      </c>
      <c r="E4" s="2" t="inlineStr">
        <is>
          <t>Прийнято як тестопридатність.</t>
        </is>
      </c>
    </row>
    <row r="5">
      <c r="A5" s="2" t="inlineStr">
        <is>
          <t>№ 4 — F-110: «Billing Address» = «адреса доставки»</t>
        </is>
      </c>
      <c r="B5" s="2" t="inlineStr">
        <is>
          <t>Пінчук К., Гаєвський А.</t>
        </is>
      </c>
      <c r="C5" s="2" t="inlineStr">
        <is>
          <t>Термін не визначений у 1.3, billing і shipping address у e-commerce — різні адреси (п. 5 чек-листа).</t>
        </is>
      </c>
      <c r="D5" s="2" t="inlineStr">
        <is>
          <t>Це лише підпис кроку в demo, функціонально адреса одна.</t>
        </is>
      </c>
      <c r="E5" s="2" t="inlineStr">
        <is>
          <t>Прийнято: саме тому термін треба зафіксувати в 1.3, інакше тест-кейс кроку 3 трактують по-різному.</t>
        </is>
      </c>
    </row>
    <row r="6">
      <c r="A6" s="2" t="inlineStr">
        <is>
          <t>Відхилено: F-50 — повзунок ціни 1–200 не відповідає реальним цінам у гривнях</t>
        </is>
      </c>
      <c r="B6" s="2" t="inlineStr">
        <is>
          <t>Гаєвський А.</t>
        </is>
      </c>
      <c r="C6" s="2" t="inlineStr">
        <is>
          <t>Ціни інструментів у гривнях значно більші за 200.</t>
        </is>
      </c>
      <c r="D6" s="2" t="inlineStr">
        <is>
          <t>Розділ 2.3 прямо фіксує, що значення demo трактуються як гривні; вимога узгоджена з середовищем.</t>
        </is>
      </c>
      <c r="E6" s="2" t="inlineStr">
        <is>
          <t>Відхилено: немає порушеного пункту чек-листа.</t>
        </is>
      </c>
    </row>
    <row r="7">
      <c r="A7" s="2" t="inlineStr">
        <is>
          <t>Відхилено: GUI-10 — перемикач мови при англомовному інтерфейсі (2.2)</t>
        </is>
      </c>
      <c r="B7" s="2" t="inlineStr">
        <is>
          <t>Новосьолова О.</t>
        </is>
      </c>
      <c r="C7" s="2" t="inlineStr">
        <is>
          <t>2.2: «Інтерфейс demo — англійською мовою».</t>
        </is>
      </c>
      <c r="D7" s="2" t="inlineStr">
        <is>
          <t>2.2 описує мову за замовчуванням, перемикач мови їй не суперечить.</t>
        </is>
      </c>
      <c r="E7" s="2" t="inlineStr">
        <is>
          <t>Відхилено як дефект вимог; перевірка перемикача — у плані тестування (локалізація).</t>
        </is>
      </c>
    </row>
    <row r="8">
      <c r="A8" s="2" t="inlineStr">
        <is>
          <t>Відхилено: 1.4 — посилання на README модуля, якого ще немає</t>
        </is>
      </c>
      <c r="B8" s="2" t="inlineStr">
        <is>
          <t>Сапронов А.</t>
        </is>
      </c>
      <c r="C8" s="2" t="inlineStr">
        <is>
          <t>Файл code/modules/shopline/v1/README.md відсутній у репозиторії.</t>
        </is>
      </c>
      <c r="D8" s="2" t="inlineStr">
        <is>
          <t>Його вміст задає D-20, документ створюється у спринті 4 — це запланований артефакт, а не неіснуючий документ.</t>
        </is>
      </c>
      <c r="E8" s="2" t="inlineStr">
        <is>
          <t>Відхилено.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  <col width="12" customWidth="1" min="3" max="3"/>
  </cols>
  <sheetData>
    <row r="1">
      <c r="A1" s="1" t="inlineStr">
        <is>
          <t>№</t>
        </is>
      </c>
      <c r="B1" s="1" t="inlineStr">
        <is>
          <t>Питання</t>
        </is>
      </c>
      <c r="C1" s="1" t="inlineStr">
        <is>
          <t>Дефект</t>
        </is>
      </c>
    </row>
    <row r="2">
      <c r="A2" s="2" t="n">
        <v>1</v>
      </c>
      <c r="B2" s="2" t="inlineStr">
        <is>
          <t>Поріг безкоштовної доставки: 1500 грн після знижки (BL-60) чи 2000 грн (F-110)?</t>
        </is>
      </c>
      <c r="C2" s="2" t="inlineStr">
        <is>
          <t>№ 9</t>
        </is>
      </c>
    </row>
    <row r="3">
      <c r="A3" s="2" t="n">
        <v>2</v>
      </c>
      <c r="B3" s="2" t="inlineStr">
        <is>
          <t>Сайт має підтримувати мобільні браузери (ширина 375 px) у версії 1.0 чи лише настільні 1280×800?</t>
        </is>
      </c>
      <c r="C3" s="2" t="inlineStr">
        <is>
          <t>№ 13</t>
        </is>
      </c>
    </row>
    <row r="4">
      <c r="A4" s="2" t="n">
        <v>3</v>
      </c>
      <c r="B4" s="2" t="inlineStr">
        <is>
          <t>Які поля форми реєстрації обов'язкові — чи обов'язковий «номер будинку»?</t>
        </is>
      </c>
      <c r="C4" s="2" t="inlineStr">
        <is>
          <t>№ 5</t>
        </is>
      </c>
    </row>
    <row r="5">
      <c r="A5" s="2" t="n">
        <v>4</v>
      </c>
      <c r="B5" s="2" t="inlineStr">
        <is>
          <t>Допустимі формати і розмір вкладення контактної форми (пропонуємо .txt, .pdf, .jpg, .png до 2 МБ)?</t>
        </is>
      </c>
      <c r="C5" s="2" t="inlineStr">
        <is>
          <t>№ 6</t>
        </is>
      </c>
    </row>
    <row r="6">
      <c r="A6" s="2" t="n">
        <v>5</v>
      </c>
      <c r="B6" s="2" t="inlineStr">
        <is>
          <t>Строк передачі листа відновлення пароля (пропонуємо 30 с) і строк дії посилання (24 год)?</t>
        </is>
      </c>
      <c r="C6" s="2" t="inlineStr">
        <is>
          <t>№ 18</t>
        </is>
      </c>
    </row>
    <row r="7">
      <c r="A7" s="2" t="n">
        <v>6</v>
      </c>
      <c r="B7" s="2" t="inlineStr">
        <is>
          <t>Мінімальна роздільна здатність і час завантаження зображень товарів (пропонуємо 1000×1000, ≤1 с при 10 Мбіт/с)?</t>
        </is>
      </c>
      <c r="C7" s="2" t="inlineStr">
        <is>
          <t>№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2026-10-14T11:57:02Z</dcterms:created>
  <dcterms:modified xmlns:dcterms="http://purl.org/dc/terms/" xmlns:xsi="http://www.w3.org/2001/XMLSchema-instance" xsi:type="dcterms:W3CDTF">2026-10-26T23:24:45Z</dcterms:modified>
</cp:coreProperties>
</file>